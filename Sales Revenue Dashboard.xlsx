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0" windowWidth="19140" windowHeight="6590" activeTab="3"/>
  </bookViews>
  <sheets>
    <sheet name="Sheet4" sheetId="4" r:id="rId1"/>
    <sheet name="Sheet6" sheetId="6" r:id="rId2"/>
    <sheet name="Sheet1" sheetId="1" r:id="rId3"/>
    <sheet name="Dashboard" sheetId="2" r:id="rId4"/>
  </sheets>
  <calcPr calcId="144525"/>
  <pivotCaches>
    <pivotCache cacheId="3" r:id="rId5"/>
    <pivotCache cacheId="7" r:id="rId6"/>
  </pivotCaches>
</workbook>
</file>

<file path=xl/calcChain.xml><?xml version="1.0" encoding="utf-8"?>
<calcChain xmlns="http://schemas.openxmlformats.org/spreadsheetml/2006/main">
  <c r="E5" i="2" l="1"/>
  <c r="C5" i="2"/>
  <c r="A5" i="2"/>
</calcChain>
</file>

<file path=xl/sharedStrings.xml><?xml version="1.0" encoding="utf-8"?>
<sst xmlns="http://schemas.openxmlformats.org/spreadsheetml/2006/main" count="41" uniqueCount="29">
  <si>
    <t>Order ID</t>
  </si>
  <si>
    <t>Date</t>
  </si>
  <si>
    <t>Product</t>
  </si>
  <si>
    <t>Category</t>
  </si>
  <si>
    <t>Region</t>
  </si>
  <si>
    <t>Quantity</t>
  </si>
  <si>
    <t>Sales</t>
  </si>
  <si>
    <t>Revenue</t>
  </si>
  <si>
    <t>Laptop</t>
  </si>
  <si>
    <t>Electronics</t>
  </si>
  <si>
    <t>Chennai</t>
  </si>
  <si>
    <t>Phone</t>
  </si>
  <si>
    <t>Bangalore</t>
  </si>
  <si>
    <t>Shoes</t>
  </si>
  <si>
    <t>Fashion</t>
  </si>
  <si>
    <t>Watch</t>
  </si>
  <si>
    <t>Accessories</t>
  </si>
  <si>
    <t>Hyderabad</t>
  </si>
  <si>
    <t>Tablet</t>
  </si>
  <si>
    <t>Mumbai</t>
  </si>
  <si>
    <t>Row Labels</t>
  </si>
  <si>
    <t>(blank)</t>
  </si>
  <si>
    <t>Grand Total</t>
  </si>
  <si>
    <t>Sum of Sales</t>
  </si>
  <si>
    <t>Sum of Revenue</t>
  </si>
  <si>
    <t>Sales &amp; Revenue Analysis Dashboard</t>
  </si>
  <si>
    <t>Total Revenue</t>
  </si>
  <si>
    <t>Total Orders</t>
  </si>
  <si>
    <t>TotalSales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</si>
</sst>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Revenue Dashboard.xlsx]Sheet4!PivotTable1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Sheet4!$A$4:$A$16</c:f>
              <c:multiLvlStrCache>
                <c:ptCount val="6"/>
                <c:lvl>
                  <c:pt idx="0">
                    <c:v>50000</c:v>
                  </c:pt>
                  <c:pt idx="1">
                    <c:v>30000</c:v>
                  </c:pt>
                  <c:pt idx="2">
                    <c:v>10000</c:v>
                  </c:pt>
                  <c:pt idx="3">
                    <c:v>20000</c:v>
                  </c:pt>
                  <c:pt idx="4">
                    <c:v>12000</c:v>
                  </c:pt>
                  <c:pt idx="5">
                    <c:v>(blank)</c:v>
                  </c:pt>
                </c:lvl>
                <c:lvl>
                  <c:pt idx="0">
                    <c:v>Laptop</c:v>
                  </c:pt>
                  <c:pt idx="1">
                    <c:v>Phone</c:v>
                  </c:pt>
                  <c:pt idx="2">
                    <c:v>Shoes</c:v>
                  </c:pt>
                  <c:pt idx="3">
                    <c:v>Tablet</c:v>
                  </c:pt>
                  <c:pt idx="4">
                    <c:v>Watch</c:v>
                  </c:pt>
                  <c:pt idx="5">
                    <c:v>(blank)</c:v>
                  </c:pt>
                </c:lvl>
              </c:multiLvlStrCache>
            </c:multiLvlStrRef>
          </c:cat>
          <c:val>
            <c:numRef>
              <c:f>Sheet4!$B$4:$B$16</c:f>
              <c:numCache>
                <c:formatCode>General</c:formatCode>
                <c:ptCount val="6"/>
                <c:pt idx="0">
                  <c:v>50000</c:v>
                </c:pt>
                <c:pt idx="1">
                  <c:v>30000</c:v>
                </c:pt>
                <c:pt idx="2">
                  <c:v>10000</c:v>
                </c:pt>
                <c:pt idx="3">
                  <c:v>20000</c:v>
                </c:pt>
                <c:pt idx="4">
                  <c:v>12000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737664"/>
        <c:axId val="133075328"/>
      </c:barChart>
      <c:catAx>
        <c:axId val="132737664"/>
        <c:scaling>
          <c:orientation val="minMax"/>
        </c:scaling>
        <c:delete val="0"/>
        <c:axPos val="l"/>
        <c:majorTickMark val="out"/>
        <c:minorTickMark val="none"/>
        <c:tickLblPos val="nextTo"/>
        <c:crossAx val="133075328"/>
        <c:crosses val="autoZero"/>
        <c:auto val="1"/>
        <c:lblAlgn val="ctr"/>
        <c:lblOffset val="100"/>
        <c:noMultiLvlLbl val="0"/>
      </c:catAx>
      <c:valAx>
        <c:axId val="1330753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2737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Revenue Dashboard.xlsx]Sheet6!PivotTable3</c:name>
    <c:fmtId val="1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Sheet6!$A$4:$A$10</c:f>
              <c:strCache>
                <c:ptCount val="6"/>
                <c:pt idx="0">
                  <c:v>01-05-2026</c:v>
                </c:pt>
                <c:pt idx="1">
                  <c:v>02-05-2026</c:v>
                </c:pt>
                <c:pt idx="2">
                  <c:v>03-05-2026</c:v>
                </c:pt>
                <c:pt idx="3">
                  <c:v>04-05-2026</c:v>
                </c:pt>
                <c:pt idx="4">
                  <c:v>05-05-2026</c:v>
                </c:pt>
                <c:pt idx="5">
                  <c:v>(blank)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10000</c:v>
                </c:pt>
                <c:pt idx="1">
                  <c:v>7000</c:v>
                </c:pt>
                <c:pt idx="2">
                  <c:v>2500</c:v>
                </c:pt>
                <c:pt idx="3">
                  <c:v>3000</c:v>
                </c:pt>
                <c:pt idx="4">
                  <c:v>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62912"/>
        <c:axId val="135464448"/>
      </c:lineChart>
      <c:catAx>
        <c:axId val="135462912"/>
        <c:scaling>
          <c:orientation val="minMax"/>
        </c:scaling>
        <c:delete val="0"/>
        <c:axPos val="b"/>
        <c:majorTickMark val="out"/>
        <c:minorTickMark val="none"/>
        <c:tickLblPos val="nextTo"/>
        <c:crossAx val="135464448"/>
        <c:crosses val="autoZero"/>
        <c:auto val="1"/>
        <c:lblAlgn val="ctr"/>
        <c:lblOffset val="100"/>
        <c:noMultiLvlLbl val="0"/>
      </c:catAx>
      <c:valAx>
        <c:axId val="135464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462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1240045</xdr:colOff>
      <xdr:row>15</xdr:row>
      <xdr:rowOff>174487</xdr:rowOff>
    </xdr:from>
    <xdr:to>
      <xdr:col>3</xdr:col>
      <xdr:colOff>288925</xdr:colOff>
      <xdr:row>30</xdr:row>
      <xdr:rowOff>155436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1225826</xdr:colOff>
      <xdr:row>33</xdr:row>
      <xdr:rowOff>60739</xdr:rowOff>
    </xdr:from>
    <xdr:to>
      <xdr:col>3</xdr:col>
      <xdr:colOff>387763</xdr:colOff>
      <xdr:row>48</xdr:row>
      <xdr:rowOff>85311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60.64615925926" createdVersion="4" refreshedVersion="4" minRefreshableVersion="3" recordCount="6">
  <cacheSource type="worksheet">
    <worksheetSource ref="A1:H9" sheet="Sheet1"/>
  </cacheSource>
  <cacheFields count="8">
    <cacheField name="Order ID" numFmtId="0">
      <sharedItems containsString="0" containsBlank="1" containsNumber="1" containsInteger="1" minValue="1001" maxValue="1005"/>
    </cacheField>
    <cacheField name="Date" numFmtId="0">
      <sharedItems containsNonDate="0" containsDate="1" containsString="0" containsBlank="1" minDate="2026-05-01T00:00:00" maxDate="2026-05-06T00:00:00"/>
    </cacheField>
    <cacheField name="Product" numFmtId="0">
      <sharedItems containsBlank="1" count="6">
        <s v="Laptop"/>
        <s v="Phone"/>
        <s v="Shoes"/>
        <s v="Watch"/>
        <s v="Tablet"/>
        <m/>
      </sharedItems>
    </cacheField>
    <cacheField name="Category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2" maxValue="5"/>
    </cacheField>
    <cacheField name="Sales" numFmtId="0">
      <sharedItems containsString="0" containsBlank="1" containsNumber="1" containsInteger="1" minValue="10000" maxValue="50000" count="6">
        <n v="50000"/>
        <n v="30000"/>
        <n v="10000"/>
        <n v="12000"/>
        <n v="20000"/>
        <m/>
      </sharedItems>
    </cacheField>
    <cacheField name="Revenue" numFmtId="0">
      <sharedItems containsString="0" containsBlank="1" containsNumber="1" containsInteger="1" minValue="25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161.818714351852" createdVersion="4" refreshedVersion="4" minRefreshableVersion="3" recordCount="6">
  <cacheSource type="worksheet">
    <worksheetSource ref="A1:H7" sheet="Sheet1"/>
  </cacheSource>
  <cacheFields count="8">
    <cacheField name="Order ID" numFmtId="0">
      <sharedItems containsString="0" containsBlank="1" containsNumber="1" containsInteger="1" minValue="1001" maxValue="1005"/>
    </cacheField>
    <cacheField name="Date" numFmtId="0">
      <sharedItems containsNonDate="0" containsDate="1" containsString="0" containsBlank="1" minDate="2026-05-01T00:00:00" maxDate="2026-05-06T00:00:00" count="6">
        <d v="2026-05-01T00:00:00"/>
        <d v="2026-05-02T00:00:00"/>
        <d v="2026-05-03T00:00:00"/>
        <d v="2026-05-04T00:00:00"/>
        <d v="2026-05-05T00:00:00"/>
        <m/>
      </sharedItems>
    </cacheField>
    <cacheField name="Product" numFmtId="0">
      <sharedItems containsBlank="1"/>
    </cacheField>
    <cacheField name="Category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2" maxValue="5"/>
    </cacheField>
    <cacheField name="Sales" numFmtId="0">
      <sharedItems containsString="0" containsBlank="1" containsNumber="1" containsInteger="1" minValue="10000" maxValue="50000"/>
    </cacheField>
    <cacheField name="Revenue" numFmtId="0">
      <sharedItems containsString="0" containsBlank="1" containsNumber="1" containsInteger="1" minValue="25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n v="1001"/>
    <d v="2026-05-01T00:00:00"/>
    <x v="0"/>
    <s v="Electronics"/>
    <s v="Chennai"/>
    <n v="2"/>
    <x v="0"/>
    <n v="10000"/>
  </r>
  <r>
    <n v="1002"/>
    <d v="2026-05-02T00:00:00"/>
    <x v="1"/>
    <s v="Electronics"/>
    <s v="Bangalore"/>
    <n v="3"/>
    <x v="1"/>
    <n v="7000"/>
  </r>
  <r>
    <n v="1003"/>
    <d v="2026-05-03T00:00:00"/>
    <x v="2"/>
    <s v="Fashion"/>
    <s v="Chennai"/>
    <n v="5"/>
    <x v="2"/>
    <n v="2500"/>
  </r>
  <r>
    <n v="1004"/>
    <d v="2026-05-04T00:00:00"/>
    <x v="3"/>
    <s v="Accessories"/>
    <s v="Hyderabad"/>
    <n v="4"/>
    <x v="3"/>
    <n v="3000"/>
  </r>
  <r>
    <n v="1005"/>
    <d v="2026-05-05T00:00:00"/>
    <x v="4"/>
    <s v="Electronics"/>
    <s v="Mumbai"/>
    <n v="2"/>
    <x v="4"/>
    <n v="5000"/>
  </r>
  <r>
    <m/>
    <m/>
    <x v="5"/>
    <m/>
    <m/>
    <m/>
    <x v="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n v="1001"/>
    <x v="0"/>
    <s v="Laptop"/>
    <s v="Electronics"/>
    <s v="Chennai"/>
    <n v="2"/>
    <n v="50000"/>
    <n v="10000"/>
  </r>
  <r>
    <n v="1002"/>
    <x v="1"/>
    <s v="Phone"/>
    <s v="Electronics"/>
    <s v="Bangalore"/>
    <n v="3"/>
    <n v="30000"/>
    <n v="7000"/>
  </r>
  <r>
    <n v="1003"/>
    <x v="2"/>
    <s v="Shoes"/>
    <s v="Fashion"/>
    <s v="Chennai"/>
    <n v="5"/>
    <n v="10000"/>
    <n v="2500"/>
  </r>
  <r>
    <n v="1004"/>
    <x v="3"/>
    <s v="Watch"/>
    <s v="Accessories"/>
    <s v="Hyderabad"/>
    <n v="4"/>
    <n v="12000"/>
    <n v="3000"/>
  </r>
  <r>
    <n v="1005"/>
    <x v="4"/>
    <s v="Tablet"/>
    <s v="Electronics"/>
    <s v="Mumbai"/>
    <n v="2"/>
    <n v="20000"/>
    <n v="5000"/>
  </r>
  <r>
    <m/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6" firstHeaderRow="1" firstDataRow="1" firstDataCol="1"/>
  <pivotFields count="8">
    <pivotField showAll="0"/>
    <pivotField showAll="0"/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axis="axisRow" dataField="1" showAll="0">
      <items count="7">
        <item x="2"/>
        <item x="3"/>
        <item x="4"/>
        <item x="1"/>
        <item x="0"/>
        <item x="5"/>
        <item t="default"/>
      </items>
    </pivotField>
    <pivotField showAll="0"/>
  </pivotFields>
  <rowFields count="2">
    <field x="2"/>
    <field x="6"/>
  </rowFields>
  <rowItems count="13">
    <i>
      <x/>
    </i>
    <i r="1">
      <x v="4"/>
    </i>
    <i>
      <x v="1"/>
    </i>
    <i r="1">
      <x v="3"/>
    </i>
    <i>
      <x v="2"/>
    </i>
    <i r="1">
      <x/>
    </i>
    <i>
      <x v="3"/>
    </i>
    <i r="1">
      <x v="2"/>
    </i>
    <i>
      <x v="4"/>
    </i>
    <i r="1">
      <x v="1"/>
    </i>
    <i>
      <x v="5"/>
    </i>
    <i r="1">
      <x v="5"/>
    </i>
    <i t="grand">
      <x/>
    </i>
  </rowItems>
  <colItems count="1">
    <i/>
  </colItems>
  <dataFields count="1">
    <dataField name="Sum of Sales" fld="6" baseField="2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B10" firstHeaderRow="1" firstDataRow="1" firstDataCol="1"/>
  <pivotFields count="8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7" baseField="1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E17" sqref="E17"/>
    </sheetView>
  </sheetViews>
  <sheetFormatPr defaultRowHeight="14.5" x14ac:dyDescent="0.35"/>
  <cols>
    <col min="1" max="1" width="12.36328125" bestFit="1" customWidth="1"/>
    <col min="2" max="2" width="11.26953125" customWidth="1"/>
  </cols>
  <sheetData>
    <row r="3" spans="1:2" x14ac:dyDescent="0.35">
      <c r="A3" s="3" t="s">
        <v>20</v>
      </c>
      <c r="B3" t="s">
        <v>23</v>
      </c>
    </row>
    <row r="4" spans="1:2" x14ac:dyDescent="0.35">
      <c r="A4" s="4" t="s">
        <v>8</v>
      </c>
      <c r="B4" s="6">
        <v>50000</v>
      </c>
    </row>
    <row r="5" spans="1:2" x14ac:dyDescent="0.35">
      <c r="A5" s="5">
        <v>50000</v>
      </c>
      <c r="B5" s="6">
        <v>50000</v>
      </c>
    </row>
    <row r="6" spans="1:2" x14ac:dyDescent="0.35">
      <c r="A6" s="4" t="s">
        <v>11</v>
      </c>
      <c r="B6" s="6">
        <v>30000</v>
      </c>
    </row>
    <row r="7" spans="1:2" x14ac:dyDescent="0.35">
      <c r="A7" s="5">
        <v>30000</v>
      </c>
      <c r="B7" s="6">
        <v>30000</v>
      </c>
    </row>
    <row r="8" spans="1:2" x14ac:dyDescent="0.35">
      <c r="A8" s="4" t="s">
        <v>13</v>
      </c>
      <c r="B8" s="6">
        <v>10000</v>
      </c>
    </row>
    <row r="9" spans="1:2" x14ac:dyDescent="0.35">
      <c r="A9" s="5">
        <v>10000</v>
      </c>
      <c r="B9" s="6">
        <v>10000</v>
      </c>
    </row>
    <row r="10" spans="1:2" x14ac:dyDescent="0.35">
      <c r="A10" s="4" t="s">
        <v>18</v>
      </c>
      <c r="B10" s="6">
        <v>20000</v>
      </c>
    </row>
    <row r="11" spans="1:2" x14ac:dyDescent="0.35">
      <c r="A11" s="5">
        <v>20000</v>
      </c>
      <c r="B11" s="6">
        <v>20000</v>
      </c>
    </row>
    <row r="12" spans="1:2" x14ac:dyDescent="0.35">
      <c r="A12" s="4" t="s">
        <v>15</v>
      </c>
      <c r="B12" s="6">
        <v>12000</v>
      </c>
    </row>
    <row r="13" spans="1:2" x14ac:dyDescent="0.35">
      <c r="A13" s="5">
        <v>12000</v>
      </c>
      <c r="B13" s="6">
        <v>12000</v>
      </c>
    </row>
    <row r="14" spans="1:2" x14ac:dyDescent="0.35">
      <c r="A14" s="4" t="s">
        <v>21</v>
      </c>
      <c r="B14" s="6"/>
    </row>
    <row r="15" spans="1:2" x14ac:dyDescent="0.35">
      <c r="A15" s="5" t="s">
        <v>21</v>
      </c>
      <c r="B15" s="6"/>
    </row>
    <row r="16" spans="1:2" x14ac:dyDescent="0.35">
      <c r="A16" s="4" t="s">
        <v>22</v>
      </c>
      <c r="B16" s="6">
        <v>122000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4.36328125" customWidth="1"/>
  </cols>
  <sheetData>
    <row r="3" spans="1:2" x14ac:dyDescent="0.35">
      <c r="A3" s="3" t="s">
        <v>20</v>
      </c>
      <c r="B3" t="s">
        <v>24</v>
      </c>
    </row>
    <row r="4" spans="1:2" x14ac:dyDescent="0.35">
      <c r="A4" s="7">
        <v>46143</v>
      </c>
      <c r="B4" s="6">
        <v>10000</v>
      </c>
    </row>
    <row r="5" spans="1:2" x14ac:dyDescent="0.35">
      <c r="A5" s="7">
        <v>46144</v>
      </c>
      <c r="B5" s="6">
        <v>7000</v>
      </c>
    </row>
    <row r="6" spans="1:2" x14ac:dyDescent="0.35">
      <c r="A6" s="7">
        <v>46145</v>
      </c>
      <c r="B6" s="6">
        <v>2500</v>
      </c>
    </row>
    <row r="7" spans="1:2" x14ac:dyDescent="0.35">
      <c r="A7" s="7">
        <v>46146</v>
      </c>
      <c r="B7" s="6">
        <v>3000</v>
      </c>
    </row>
    <row r="8" spans="1:2" x14ac:dyDescent="0.35">
      <c r="A8" s="7">
        <v>46147</v>
      </c>
      <c r="B8" s="6">
        <v>5000</v>
      </c>
    </row>
    <row r="9" spans="1:2" x14ac:dyDescent="0.35">
      <c r="A9" s="4" t="s">
        <v>21</v>
      </c>
      <c r="B9" s="6"/>
    </row>
    <row r="10" spans="1:2" x14ac:dyDescent="0.35">
      <c r="A10" s="4" t="s">
        <v>22</v>
      </c>
      <c r="B10" s="6">
        <v>27500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sqref="A1:I7"/>
    </sheetView>
  </sheetViews>
  <sheetFormatPr defaultRowHeight="14.5" x14ac:dyDescent="0.35"/>
  <cols>
    <col min="2" max="2" width="15.6328125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1001</v>
      </c>
      <c r="B2" s="2">
        <v>46143</v>
      </c>
      <c r="C2" t="s">
        <v>8</v>
      </c>
      <c r="D2" t="s">
        <v>9</v>
      </c>
      <c r="E2" t="s">
        <v>10</v>
      </c>
      <c r="F2">
        <v>2</v>
      </c>
      <c r="G2">
        <v>50000</v>
      </c>
      <c r="H2">
        <v>10000</v>
      </c>
    </row>
    <row r="3" spans="1:8" x14ac:dyDescent="0.35">
      <c r="A3">
        <v>1002</v>
      </c>
      <c r="B3" s="2">
        <v>46144</v>
      </c>
      <c r="C3" t="s">
        <v>11</v>
      </c>
      <c r="D3" t="s">
        <v>9</v>
      </c>
      <c r="E3" t="s">
        <v>12</v>
      </c>
      <c r="F3">
        <v>3</v>
      </c>
      <c r="G3">
        <v>30000</v>
      </c>
      <c r="H3">
        <v>7000</v>
      </c>
    </row>
    <row r="4" spans="1:8" x14ac:dyDescent="0.35">
      <c r="A4">
        <v>1003</v>
      </c>
      <c r="B4" s="2">
        <v>46145</v>
      </c>
      <c r="C4" t="s">
        <v>13</v>
      </c>
      <c r="D4" t="s">
        <v>14</v>
      </c>
      <c r="E4" t="s">
        <v>10</v>
      </c>
      <c r="F4">
        <v>5</v>
      </c>
      <c r="G4">
        <v>10000</v>
      </c>
      <c r="H4">
        <v>2500</v>
      </c>
    </row>
    <row r="5" spans="1:8" x14ac:dyDescent="0.35">
      <c r="A5">
        <v>1004</v>
      </c>
      <c r="B5" s="2">
        <v>46146</v>
      </c>
      <c r="C5" t="s">
        <v>15</v>
      </c>
      <c r="D5" t="s">
        <v>16</v>
      </c>
      <c r="E5" t="s">
        <v>17</v>
      </c>
      <c r="F5">
        <v>4</v>
      </c>
      <c r="G5">
        <v>12000</v>
      </c>
      <c r="H5">
        <v>3000</v>
      </c>
    </row>
    <row r="6" spans="1:8" x14ac:dyDescent="0.35">
      <c r="A6">
        <v>1005</v>
      </c>
      <c r="B6" s="2">
        <v>46147</v>
      </c>
      <c r="C6" t="s">
        <v>18</v>
      </c>
      <c r="D6" t="s">
        <v>9</v>
      </c>
      <c r="E6" t="s">
        <v>19</v>
      </c>
      <c r="F6">
        <v>2</v>
      </c>
      <c r="G6">
        <v>20000</v>
      </c>
      <c r="H6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115" zoomScaleNormal="115" workbookViewId="0">
      <selection activeCell="A34" sqref="A34"/>
    </sheetView>
  </sheetViews>
  <sheetFormatPr defaultRowHeight="14.5" x14ac:dyDescent="0.35"/>
  <cols>
    <col min="1" max="1" width="57.81640625" customWidth="1"/>
    <col min="3" max="3" width="34.7265625" customWidth="1"/>
    <col min="5" max="5" width="32.453125" customWidth="1"/>
  </cols>
  <sheetData>
    <row r="1" spans="1:7" ht="26" x14ac:dyDescent="0.6">
      <c r="A1" s="8" t="s">
        <v>25</v>
      </c>
      <c r="B1" s="9"/>
      <c r="C1" s="9"/>
      <c r="D1" s="9"/>
      <c r="E1" s="9"/>
      <c r="F1" s="9"/>
      <c r="G1" s="9"/>
    </row>
    <row r="4" spans="1:7" ht="29" customHeight="1" x14ac:dyDescent="0.35">
      <c r="A4" s="12" t="s">
        <v>28</v>
      </c>
      <c r="B4" s="10"/>
      <c r="C4" s="13" t="s">
        <v>26</v>
      </c>
      <c r="E4" s="13" t="s">
        <v>27</v>
      </c>
    </row>
    <row r="5" spans="1:7" x14ac:dyDescent="0.35">
      <c r="A5" s="11">
        <f>SUM(Sheet1!G2:G30)</f>
        <v>122000</v>
      </c>
      <c r="B5" s="11"/>
      <c r="C5">
        <f>SUM(Sheet1!H2:H30)</f>
        <v>27500</v>
      </c>
      <c r="E5">
        <f>COUNTA(Sheet1!A2:A30)</f>
        <v>5</v>
      </c>
    </row>
    <row r="6" spans="1:7" x14ac:dyDescent="0.35">
      <c r="A6" s="11"/>
      <c r="B6" s="11"/>
    </row>
    <row r="7" spans="1:7" x14ac:dyDescent="0.35">
      <c r="A7" s="11"/>
      <c r="B7" s="1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Sheet6</vt:lpstr>
      <vt:lpstr>Sheet1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2026-05-18T09:46:16Z</dcterms:created>
  <dcterms:modified xsi:type="dcterms:W3CDTF">2026-05-19T16:24:47Z</dcterms:modified>
</cp:coreProperties>
</file>